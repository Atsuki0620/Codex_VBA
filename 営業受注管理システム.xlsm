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顧客マスタ" sheetId="1" r:id="rId1"/>
    <sheet name="商品マスタ" sheetId="2" r:id="rId2"/>
    <sheet name="受注データ" sheetId="3" r:id="rId3"/>
    <sheet name="見積書" sheetId="4" r:id="rId4"/>
    <sheet name="請求書" sheetId="5" r:id="rId5"/>
    <sheet name="月次レポート" sheetId="6" r:id="rId6"/>
    <sheet name="ダッシュボード" sheetId="7" r:id="rId7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2">
    <numFmt numFmtId="56" formatCode="&quot;上午/下午 &quot;hh&quot;時&quot;mm&quot;分&quot;ss&quot;秒 &quot;"/>
    <numFmt numFmtId="60" formatCode="0.0%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/>
    <xf numFmtId="6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16"/>
  <sheetViews>
    <sheetView workbookViewId="0"/>
  </sheetViews>
  <cols>
    <col min="1" max="1" width="10.83203125" customWidth="1"/>
    <col min="2" max="2" width="25.83203125" customWidth="1"/>
    <col min="3" max="3" width="35.83203125" customWidth="1"/>
    <col min="4" max="4" width="15.83203125" customWidth="1"/>
    <col min="5" max="5" width="12.83203125" customWidth="1"/>
  </cols>
  <sheetData>
    <row r="1">
      <c r="A1" t="str">
        <v>顧客ID</v>
      </c>
      <c r="B1" t="str">
        <v>顧客名</v>
      </c>
      <c r="C1" t="str">
        <v>住所</v>
      </c>
      <c r="D1" t="str">
        <v>電話番号</v>
      </c>
      <c r="E1" t="str">
        <v>担当営業</v>
      </c>
    </row>
    <row r="2">
      <c r="A2" t="str">
        <v>C001</v>
      </c>
      <c r="B2" t="str">
        <v>株式会社山田商事</v>
      </c>
      <c r="C2" t="str">
        <v>東京都千代田区丸の内1-1-1</v>
      </c>
      <c r="D2" t="str">
        <v>03-1234-5678</v>
      </c>
      <c r="E2" t="str">
        <v>田中太郎</v>
      </c>
    </row>
    <row r="3">
      <c r="A3" t="str">
        <v>C002</v>
      </c>
      <c r="B3" t="str">
        <v>佐藤工業株式会社</v>
      </c>
      <c r="C3" t="str">
        <v>大阪府大阪市北区梅田2-2-2</v>
      </c>
      <c r="D3" t="str">
        <v>06-2345-6789</v>
      </c>
      <c r="E3" t="str">
        <v>鈴木花子</v>
      </c>
    </row>
    <row r="4">
      <c r="A4" t="str">
        <v>C003</v>
      </c>
      <c r="B4" t="str">
        <v>鈴木電機株式会社</v>
      </c>
      <c r="C4" t="str">
        <v>愛知県名古屋市中区栄3-3-3</v>
      </c>
      <c r="D4" t="str">
        <v>052-3456-7890</v>
      </c>
      <c r="E4" t="str">
        <v>高橋一郎</v>
      </c>
    </row>
    <row r="5">
      <c r="A5" t="str">
        <v>C004</v>
      </c>
      <c r="B5" t="str">
        <v>高橋製作所</v>
      </c>
      <c r="C5" t="str">
        <v>神奈川県横浜市西区みなとみらい4-4-4</v>
      </c>
      <c r="D5" t="str">
        <v>045-4567-8901</v>
      </c>
      <c r="E5" t="str">
        <v>田中太郎</v>
      </c>
    </row>
    <row r="6">
      <c r="A6" t="str">
        <v>C005</v>
      </c>
      <c r="B6" t="str">
        <v>伊藤建設株式会社</v>
      </c>
      <c r="C6" t="str">
        <v>福岡県福岡市博多区博多駅前5-5-5</v>
      </c>
      <c r="D6" t="str">
        <v>092-5678-9012</v>
      </c>
      <c r="E6" t="str">
        <v>伊藤美咲</v>
      </c>
    </row>
    <row r="7">
      <c r="A7" t="str">
        <v>C006</v>
      </c>
      <c r="B7" t="str">
        <v>渡辺物産</v>
      </c>
      <c r="C7" t="str">
        <v>北海道札幌市中央区大通6-6-6</v>
      </c>
      <c r="D7" t="str">
        <v>011-6789-0123</v>
      </c>
      <c r="E7" t="str">
        <v>鈴木花子</v>
      </c>
    </row>
    <row r="8">
      <c r="A8" t="str">
        <v>C007</v>
      </c>
      <c r="B8" t="str">
        <v>中村興業株式会社</v>
      </c>
      <c r="C8" t="str">
        <v>宮城県仙台市青葉区中央7-7-7</v>
      </c>
      <c r="D8" t="str">
        <v>022-7890-1234</v>
      </c>
      <c r="E8" t="str">
        <v>渡辺健太</v>
      </c>
    </row>
    <row r="9">
      <c r="A9" t="str">
        <v>C008</v>
      </c>
      <c r="B9" t="str">
        <v>小林製薬株式会社</v>
      </c>
      <c r="C9" t="str">
        <v>広島県広島市中区紙屋町8-8-8</v>
      </c>
      <c r="D9" t="str">
        <v>082-8901-2345</v>
      </c>
      <c r="E9" t="str">
        <v>高橋一郎</v>
      </c>
    </row>
    <row r="10">
      <c r="A10" t="str">
        <v>C009</v>
      </c>
      <c r="B10" t="str">
        <v>加藤商店</v>
      </c>
      <c r="C10" t="str">
        <v>石川県金沢市広坂9-9-9</v>
      </c>
      <c r="D10" t="str">
        <v>076-9012-3456</v>
      </c>
      <c r="E10" t="str">
        <v>田中太郎</v>
      </c>
    </row>
    <row r="11">
      <c r="A11" t="str">
        <v>C010</v>
      </c>
      <c r="B11" t="str">
        <v>吉田運輸株式会社</v>
      </c>
      <c r="C11" t="str">
        <v>静岡県静岡市葵区呉服町10-10-10</v>
      </c>
      <c r="D11" t="str">
        <v>054-0123-4567</v>
      </c>
      <c r="E11" t="str">
        <v>伊藤美咲</v>
      </c>
    </row>
    <row r="12">
      <c r="A12" t="str">
        <v>C011</v>
      </c>
      <c r="B12" t="str">
        <v>山本電子工業</v>
      </c>
      <c r="C12" t="str">
        <v>京都府京都市下京区烏丸通11-11-11</v>
      </c>
      <c r="D12" t="str">
        <v>075-1234-5678</v>
      </c>
      <c r="E12" t="str">
        <v>鈴木花子</v>
      </c>
    </row>
    <row r="13">
      <c r="A13" t="str">
        <v>C012</v>
      </c>
      <c r="B13" t="str">
        <v>佐々木機械</v>
      </c>
      <c r="C13" t="str">
        <v>兵庫県神戸市中央区三宮12-12-12</v>
      </c>
      <c r="D13" t="str">
        <v>078-2345-6789</v>
      </c>
      <c r="E13" t="str">
        <v>渡辺健太</v>
      </c>
    </row>
    <row r="14">
      <c r="A14" t="str">
        <v>C013</v>
      </c>
      <c r="B14" t="str">
        <v>松本貿易株式会社</v>
      </c>
      <c r="C14" t="str">
        <v>埼玉県さいたま市大宮区13-13-13</v>
      </c>
      <c r="D14" t="str">
        <v>048-3456-7890</v>
      </c>
      <c r="E14" t="str">
        <v>高橋一郎</v>
      </c>
    </row>
    <row r="15">
      <c r="A15" t="str">
        <v>C014</v>
      </c>
      <c r="B15" t="str">
        <v>井上システム</v>
      </c>
      <c r="C15" t="str">
        <v>千葉県千葉市中央区14-14-14</v>
      </c>
      <c r="D15" t="str">
        <v>043-4567-8901</v>
      </c>
      <c r="E15" t="str">
        <v>田中太郎</v>
      </c>
    </row>
    <row r="16">
      <c r="A16" t="str">
        <v>C015</v>
      </c>
      <c r="B16" t="str">
        <v>木村産業株式会社</v>
      </c>
      <c r="C16" t="str">
        <v>沖縄県那覇市久茂地15-15-15</v>
      </c>
      <c r="D16" t="str">
        <v>098-5678-9012</v>
      </c>
      <c r="E16" t="str">
        <v>伊藤美咲</v>
      </c>
    </row>
  </sheetData>
  <ignoredErrors>
    <ignoredError numberStoredAsText="1" sqref="A1:E16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E13"/>
  <sheetViews>
    <sheetView workbookViewId="0"/>
  </sheetViews>
  <cols>
    <col min="1" max="1" width="10.83203125" customWidth="1"/>
    <col min="2" max="2" width="30.83203125" customWidth="1"/>
    <col min="3" max="3" width="12.83203125" customWidth="1"/>
    <col min="4" max="4" width="12.83203125" customWidth="1"/>
    <col min="5" max="5" width="10.83203125" customWidth="1"/>
  </cols>
  <sheetData>
    <row r="1">
      <c r="A1" t="str">
        <v>商品ID</v>
      </c>
      <c r="B1" t="str">
        <v>商品名</v>
      </c>
      <c r="C1" t="str">
        <v>単価</v>
      </c>
      <c r="D1" t="str">
        <v>カテゴリ</v>
      </c>
      <c r="E1" t="str">
        <v>在庫数</v>
      </c>
    </row>
    <row r="2">
      <c r="A2" t="str">
        <v>P001</v>
      </c>
      <c r="B2" t="str">
        <v>高性能センサーA型</v>
      </c>
      <c r="C2">
        <v>45000</v>
      </c>
      <c r="D2" t="str">
        <v>電子部品</v>
      </c>
      <c r="E2">
        <v>120</v>
      </c>
    </row>
    <row r="3">
      <c r="A3" t="str">
        <v>P002</v>
      </c>
      <c r="B3" t="str">
        <v>制御基板B型</v>
      </c>
      <c r="C3">
        <v>78000</v>
      </c>
      <c r="D3" t="str">
        <v>電子部品</v>
      </c>
      <c r="E3">
        <v>85</v>
      </c>
    </row>
    <row r="4">
      <c r="A4" t="str">
        <v>P003</v>
      </c>
      <c r="B4" t="str">
        <v>モーターユニットC型</v>
      </c>
      <c r="C4">
        <v>95000</v>
      </c>
      <c r="D4" t="str">
        <v>機械部品</v>
      </c>
      <c r="E4">
        <v>60</v>
      </c>
    </row>
    <row r="5">
      <c r="A5" t="str">
        <v>P004</v>
      </c>
      <c r="B5" t="str">
        <v>プログラマブルコントローラD型</v>
      </c>
      <c r="C5">
        <v>125000</v>
      </c>
      <c r="D5" t="str">
        <v>制御機器</v>
      </c>
      <c r="E5">
        <v>45</v>
      </c>
    </row>
    <row r="6">
      <c r="A6" t="str">
        <v>P005</v>
      </c>
      <c r="B6" t="str">
        <v>タッチパネルE型</v>
      </c>
      <c r="C6">
        <v>68000</v>
      </c>
      <c r="D6" t="str">
        <v>表示装置</v>
      </c>
      <c r="E6">
        <v>95</v>
      </c>
    </row>
    <row r="7">
      <c r="A7" t="str">
        <v>P006</v>
      </c>
      <c r="B7" t="str">
        <v>ケーブルアセンブリF型</v>
      </c>
      <c r="C7">
        <v>15000</v>
      </c>
      <c r="D7" t="str">
        <v>配線部品</v>
      </c>
      <c r="E7">
        <v>200</v>
      </c>
    </row>
    <row r="8">
      <c r="A8" t="str">
        <v>P007</v>
      </c>
      <c r="B8" t="str">
        <v>電源ユニットG型</v>
      </c>
      <c r="C8">
        <v>52000</v>
      </c>
      <c r="D8" t="str">
        <v>電源機器</v>
      </c>
      <c r="E8">
        <v>75</v>
      </c>
    </row>
    <row r="9">
      <c r="A9" t="str">
        <v>P008</v>
      </c>
      <c r="B9" t="str">
        <v>インバータH型</v>
      </c>
      <c r="C9">
        <v>98000</v>
      </c>
      <c r="D9" t="str">
        <v>制御機器</v>
      </c>
      <c r="E9">
        <v>50</v>
      </c>
    </row>
    <row r="10">
      <c r="A10" t="str">
        <v>P009</v>
      </c>
      <c r="B10" t="str">
        <v>リレーモジュールI型</v>
      </c>
      <c r="C10">
        <v>23000</v>
      </c>
      <c r="D10" t="str">
        <v>電子部品</v>
      </c>
      <c r="E10">
        <v>150</v>
      </c>
    </row>
    <row r="11">
      <c r="A11" t="str">
        <v>P010</v>
      </c>
      <c r="B11" t="str">
        <v>エンコーダJ型</v>
      </c>
      <c r="C11">
        <v>38000</v>
      </c>
      <c r="D11" t="str">
        <v>センサー</v>
      </c>
      <c r="E11">
        <v>110</v>
      </c>
    </row>
    <row r="12">
      <c r="A12" t="str">
        <v>P011</v>
      </c>
      <c r="B12" t="str">
        <v>サーボモータK型</v>
      </c>
      <c r="C12">
        <v>145000</v>
      </c>
      <c r="D12" t="str">
        <v>機械部品</v>
      </c>
      <c r="E12">
        <v>35</v>
      </c>
    </row>
    <row r="13">
      <c r="A13" t="str">
        <v>P012</v>
      </c>
      <c r="B13" t="str">
        <v>計測器L型</v>
      </c>
      <c r="C13">
        <v>185000</v>
      </c>
      <c r="D13" t="str">
        <v>計測機器</v>
      </c>
      <c r="E13">
        <v>25</v>
      </c>
    </row>
  </sheetData>
  <ignoredErrors>
    <ignoredError numberStoredAsText="1" sqref="A1:E13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N31"/>
  <sheetViews>
    <sheetView workbookViewId="0"/>
  </sheetViews>
  <cols>
    <col min="1" max="1" width="18.83203125" customWidth="1"/>
    <col min="2" max="2" width="12.83203125" customWidth="1"/>
    <col min="3" max="3" width="10.83203125" customWidth="1"/>
    <col min="4" max="4" width="25.83203125" customWidth="1"/>
    <col min="5" max="5" width="10.83203125" customWidth="1"/>
    <col min="6" max="6" width="30.83203125" customWidth="1"/>
    <col min="7" max="7" width="8.83203125" customWidth="1"/>
    <col min="8" max="8" width="12.83203125" customWidth="1"/>
    <col min="9" max="9" width="12.83203125" customWidth="1"/>
    <col min="10" max="10" width="12.83203125" customWidth="1"/>
    <col min="11" max="11" width="12.83203125" customWidth="1"/>
    <col min="12" max="12" width="12.83203125" customWidth="1"/>
    <col min="13" max="13" width="12.83203125" customWidth="1"/>
    <col min="14" max="14" width="20.83203125" customWidth="1"/>
  </cols>
  <sheetData>
    <row r="1">
      <c r="A1" t="str">
        <v>受注番号</v>
      </c>
      <c r="B1" t="str">
        <v>受注日</v>
      </c>
      <c r="C1" t="str">
        <v>顧客ID</v>
      </c>
      <c r="D1" t="str">
        <v>顧客名</v>
      </c>
      <c r="E1" t="str">
        <v>商品ID</v>
      </c>
      <c r="F1" t="str">
        <v>商品名</v>
      </c>
      <c r="G1" t="str">
        <v>数量</v>
      </c>
      <c r="H1" t="str">
        <v>単価</v>
      </c>
      <c r="I1" t="str">
        <v>金額</v>
      </c>
      <c r="J1" t="str">
        <v>担当営業</v>
      </c>
      <c r="K1" t="str">
        <v>ステータス</v>
      </c>
      <c r="L1" t="str">
        <v>納期</v>
      </c>
      <c r="M1" t="str">
        <v>納期判定</v>
      </c>
      <c r="N1" t="str">
        <v>備考</v>
      </c>
    </row>
    <row r="2">
      <c r="A2" t="str">
        <v>ORD202410000001</v>
      </c>
      <c r="B2" t="str">
        <v>2024-10-01</v>
      </c>
      <c r="C2" t="str">
        <v>C001</v>
      </c>
      <c r="D2">
        <f>VLOOKUP(C2,顧客マスタ!$A$2:$B$16,2,FALSE)</f>
      </c>
      <c r="E2" t="str">
        <v>P001</v>
      </c>
      <c r="F2">
        <f>VLOOKUP(E2,商品マスタ!$A$2:$B$13,2,FALSE)</f>
      </c>
      <c r="G2">
        <v>5</v>
      </c>
      <c r="H2">
        <f>VLOOKUP(E2,商品マスタ!$A$2:$C$13,3,FALSE)</f>
      </c>
      <c r="I2">
        <f>G2*H2</f>
      </c>
      <c r="J2">
        <f>VLOOKUP(C2,顧客マスタ!$A$2:$E$16,5,FALSE)</f>
      </c>
      <c r="K2" t="str">
        <v>受注</v>
      </c>
      <c r="L2" t="str">
        <v>2024-10-15</v>
      </c>
      <c r="M2">
        <f>IF(K2="納品完了","完了",IF(L2&lt;TODAY(),"遅延","正常"))</f>
      </c>
      <c r="N2" t="str">
        <v/>
      </c>
    </row>
    <row r="3">
      <c r="A3" t="str">
        <v>ORD202410000002</v>
      </c>
      <c r="B3" t="str">
        <v>2024-10-02</v>
      </c>
      <c r="C3" t="str">
        <v>C003</v>
      </c>
      <c r="D3">
        <f>VLOOKUP(C3,顧客マスタ!$A$2:$B$16,2,FALSE)</f>
      </c>
      <c r="E3" t="str">
        <v>P004</v>
      </c>
      <c r="F3">
        <f>VLOOKUP(E3,商品マスタ!$A$2:$B$13,2,FALSE)</f>
      </c>
      <c r="G3">
        <v>2</v>
      </c>
      <c r="H3">
        <f>VLOOKUP(E3,商品マスタ!$A$2:$C$13,3,FALSE)</f>
      </c>
      <c r="I3">
        <f>G3*H3</f>
      </c>
      <c r="J3">
        <f>VLOOKUP(C3,顧客マスタ!$A$2:$E$16,5,FALSE)</f>
      </c>
      <c r="K3" t="str">
        <v>製造中</v>
      </c>
      <c r="L3" t="str">
        <v>2024-10-20</v>
      </c>
      <c r="M3">
        <f>IF(K3="納品完了","完了",IF(L3&lt;TODAY(),"遅延","正常"))</f>
      </c>
      <c r="N3" t="str">
        <v/>
      </c>
    </row>
    <row r="4">
      <c r="A4" t="str">
        <v>ORD202410000003</v>
      </c>
      <c r="B4" t="str">
        <v>2024-10-03</v>
      </c>
      <c r="C4" t="str">
        <v>C005</v>
      </c>
      <c r="D4">
        <f>VLOOKUP(C4,顧客マスタ!$A$2:$B$16,2,FALSE)</f>
      </c>
      <c r="E4" t="str">
        <v>P002</v>
      </c>
      <c r="F4">
        <f>VLOOKUP(E4,商品マスタ!$A$2:$B$13,2,FALSE)</f>
      </c>
      <c r="G4">
        <v>3</v>
      </c>
      <c r="H4">
        <f>VLOOKUP(E4,商品マスタ!$A$2:$C$13,3,FALSE)</f>
      </c>
      <c r="I4">
        <f>G4*H4</f>
      </c>
      <c r="J4">
        <f>VLOOKUP(C4,顧客マスタ!$A$2:$E$16,5,FALSE)</f>
      </c>
      <c r="K4" t="str">
        <v>出荷準備</v>
      </c>
      <c r="L4" t="str">
        <v>2024-10-18</v>
      </c>
      <c r="M4">
        <f>IF(K4="納品完了","完了",IF(L4&lt;TODAY(),"遅延","正常"))</f>
      </c>
      <c r="N4" t="str">
        <v/>
      </c>
    </row>
    <row r="5">
      <c r="A5" t="str">
        <v>ORD202410000004</v>
      </c>
      <c r="B5" t="str">
        <v>2024-10-03</v>
      </c>
      <c r="C5" t="str">
        <v>C002</v>
      </c>
      <c r="D5">
        <f>VLOOKUP(C5,顧客マスタ!$A$2:$B$16,2,FALSE)</f>
      </c>
      <c r="E5" t="str">
        <v>P007</v>
      </c>
      <c r="F5">
        <f>VLOOKUP(E5,商品マスタ!$A$2:$B$13,2,FALSE)</f>
      </c>
      <c r="G5">
        <v>4</v>
      </c>
      <c r="H5">
        <f>VLOOKUP(E5,商品マスタ!$A$2:$C$13,3,FALSE)</f>
      </c>
      <c r="I5">
        <f>G5*H5</f>
      </c>
      <c r="J5">
        <f>VLOOKUP(C5,顧客マスタ!$A$2:$E$16,5,FALSE)</f>
      </c>
      <c r="K5" t="str">
        <v>納品完了</v>
      </c>
      <c r="L5" t="str">
        <v>2024-10-12</v>
      </c>
      <c r="M5">
        <f>IF(K5="納品完了","完了",IF(L5&lt;TODAY(),"遅延","正常"))</f>
      </c>
      <c r="N5" t="str">
        <v>期限内納品</v>
      </c>
    </row>
    <row r="6">
      <c r="A6" t="str">
        <v>ORD202410000005</v>
      </c>
      <c r="B6" t="str">
        <v>2024-10-04</v>
      </c>
      <c r="C6" t="str">
        <v>C007</v>
      </c>
      <c r="D6">
        <f>VLOOKUP(C6,顧客マスタ!$A$2:$B$16,2,FALSE)</f>
      </c>
      <c r="E6" t="str">
        <v>P011</v>
      </c>
      <c r="F6">
        <f>VLOOKUP(E6,商品マスタ!$A$2:$B$13,2,FALSE)</f>
      </c>
      <c r="G6">
        <v>1</v>
      </c>
      <c r="H6">
        <f>VLOOKUP(E6,商品マスタ!$A$2:$C$13,3,FALSE)</f>
      </c>
      <c r="I6">
        <f>G6*H6</f>
      </c>
      <c r="J6">
        <f>VLOOKUP(C6,顧客マスタ!$A$2:$E$16,5,FALSE)</f>
      </c>
      <c r="K6" t="str">
        <v>受注</v>
      </c>
      <c r="L6" t="str">
        <v>2024-10-25</v>
      </c>
      <c r="M6">
        <f>IF(K6="納品完了","完了",IF(L6&lt;TODAY(),"遅延","正常"))</f>
      </c>
      <c r="N6" t="str">
        <v/>
      </c>
    </row>
    <row r="7">
      <c r="A7" t="str">
        <v>ORD202410000006</v>
      </c>
      <c r="B7" t="str">
        <v>2024-10-05</v>
      </c>
      <c r="C7" t="str">
        <v>C004</v>
      </c>
      <c r="D7">
        <f>VLOOKUP(C7,顧客マスタ!$A$2:$B$16,2,FALSE)</f>
      </c>
      <c r="E7" t="str">
        <v>P003</v>
      </c>
      <c r="F7">
        <f>VLOOKUP(E7,商品マスタ!$A$2:$B$13,2,FALSE)</f>
      </c>
      <c r="G7">
        <v>2</v>
      </c>
      <c r="H7">
        <f>VLOOKUP(E7,商品マスタ!$A$2:$C$13,3,FALSE)</f>
      </c>
      <c r="I7">
        <f>G7*H7</f>
      </c>
      <c r="J7">
        <f>VLOOKUP(C7,顧客マスタ!$A$2:$E$16,5,FALSE)</f>
      </c>
      <c r="K7" t="str">
        <v>製造中</v>
      </c>
      <c r="L7" t="str">
        <v>2024-10-22</v>
      </c>
      <c r="M7">
        <f>IF(K7="納品完了","完了",IF(L7&lt;TODAY(),"遅延","正常"))</f>
      </c>
      <c r="N7" t="str">
        <v/>
      </c>
    </row>
    <row r="8">
      <c r="A8" t="str">
        <v>ORD202410000007</v>
      </c>
      <c r="B8" t="str">
        <v>2024-10-06</v>
      </c>
      <c r="C8" t="str">
        <v>C009</v>
      </c>
      <c r="D8">
        <f>VLOOKUP(C8,顧客マスタ!$A$2:$B$16,2,FALSE)</f>
      </c>
      <c r="E8" t="str">
        <v>P006</v>
      </c>
      <c r="F8">
        <f>VLOOKUP(E8,商品マスタ!$A$2:$B$13,2,FALSE)</f>
      </c>
      <c r="G8">
        <v>10</v>
      </c>
      <c r="H8">
        <f>VLOOKUP(E8,商品マスタ!$A$2:$C$13,3,FALSE)</f>
      </c>
      <c r="I8">
        <f>G8*H8</f>
      </c>
      <c r="J8">
        <f>VLOOKUP(C8,顧客マスタ!$A$2:$E$16,5,FALSE)</f>
      </c>
      <c r="K8" t="str">
        <v>出荷準備</v>
      </c>
      <c r="L8" t="str">
        <v>2024-10-19</v>
      </c>
      <c r="M8">
        <f>IF(K8="納品完了","完了",IF(L8&lt;TODAY(),"遅延","正常"))</f>
      </c>
      <c r="N8" t="str">
        <v/>
      </c>
    </row>
    <row r="9">
      <c r="A9" t="str">
        <v>ORD202410000008</v>
      </c>
      <c r="B9" t="str">
        <v>2024-10-07</v>
      </c>
      <c r="C9" t="str">
        <v>C011</v>
      </c>
      <c r="D9">
        <f>VLOOKUP(C9,顧客マスタ!$A$2:$B$16,2,FALSE)</f>
      </c>
      <c r="E9" t="str">
        <v>P008</v>
      </c>
      <c r="F9">
        <f>VLOOKUP(E9,商品マスタ!$A$2:$B$13,2,FALSE)</f>
      </c>
      <c r="G9">
        <v>3</v>
      </c>
      <c r="H9">
        <f>VLOOKUP(E9,商品マスタ!$A$2:$C$13,3,FALSE)</f>
      </c>
      <c r="I9">
        <f>G9*H9</f>
      </c>
      <c r="J9">
        <f>VLOOKUP(C9,顧客マスタ!$A$2:$E$16,5,FALSE)</f>
      </c>
      <c r="K9" t="str">
        <v>納品完了</v>
      </c>
      <c r="L9" t="str">
        <v>2024-10-14</v>
      </c>
      <c r="M9">
        <f>IF(K9="納品完了","完了",IF(L9&lt;TODAY(),"遅延","正常"))</f>
      </c>
      <c r="N9" t="str">
        <v>期限内納品</v>
      </c>
    </row>
    <row r="10">
      <c r="A10" t="str">
        <v>ORD202410000009</v>
      </c>
      <c r="B10" t="str">
        <v>2024-10-08</v>
      </c>
      <c r="C10" t="str">
        <v>C006</v>
      </c>
      <c r="D10">
        <f>VLOOKUP(C10,顧客マスタ!$A$2:$B$16,2,FALSE)</f>
      </c>
      <c r="E10" t="str">
        <v>P005</v>
      </c>
      <c r="F10">
        <f>VLOOKUP(E10,商品マスタ!$A$2:$B$13,2,FALSE)</f>
      </c>
      <c r="G10">
        <v>5</v>
      </c>
      <c r="H10">
        <f>VLOOKUP(E10,商品マスタ!$A$2:$C$13,3,FALSE)</f>
      </c>
      <c r="I10">
        <f>G10*H10</f>
      </c>
      <c r="J10">
        <f>VLOOKUP(C10,顧客マスタ!$A$2:$E$16,5,FALSE)</f>
      </c>
      <c r="K10" t="str">
        <v>受注</v>
      </c>
      <c r="L10" t="str">
        <v>2024-10-28</v>
      </c>
      <c r="M10">
        <f>IF(K10="納品完了","完了",IF(L10&lt;TODAY(),"遅延","正常"))</f>
      </c>
      <c r="N10" t="str">
        <v/>
      </c>
    </row>
    <row r="11">
      <c r="A11" t="str">
        <v>ORD202410000010</v>
      </c>
      <c r="B11" t="str">
        <v>2024-10-09</v>
      </c>
      <c r="C11" t="str">
        <v>C012</v>
      </c>
      <c r="D11">
        <f>VLOOKUP(C11,顧客マスタ!$A$2:$B$16,2,FALSE)</f>
      </c>
      <c r="E11" t="str">
        <v>P010</v>
      </c>
      <c r="F11">
        <f>VLOOKUP(E11,商品マスタ!$A$2:$B$13,2,FALSE)</f>
      </c>
      <c r="G11">
        <v>4</v>
      </c>
      <c r="H11">
        <f>VLOOKUP(E11,商品マスタ!$A$2:$C$13,3,FALSE)</f>
      </c>
      <c r="I11">
        <f>G11*H11</f>
      </c>
      <c r="J11">
        <f>VLOOKUP(C11,顧客マスタ!$A$2:$E$16,5,FALSE)</f>
      </c>
      <c r="K11" t="str">
        <v>製造中</v>
      </c>
      <c r="L11" t="str">
        <v>2024-10-24</v>
      </c>
      <c r="M11">
        <f>IF(K11="納品完了","完了",IF(L11&lt;TODAY(),"遅延","正常"))</f>
      </c>
      <c r="N11" t="str">
        <v/>
      </c>
    </row>
    <row r="12">
      <c r="A12" t="str">
        <v>ORD202410000011</v>
      </c>
      <c r="B12" t="str">
        <v>2024-10-10</v>
      </c>
      <c r="C12" t="str">
        <v>C008</v>
      </c>
      <c r="D12">
        <f>VLOOKUP(C12,顧客マスタ!$A$2:$B$16,2,FALSE)</f>
      </c>
      <c r="E12" t="str">
        <v>P009</v>
      </c>
      <c r="F12">
        <f>VLOOKUP(E12,商品マスタ!$A$2:$B$13,2,FALSE)</f>
      </c>
      <c r="G12">
        <v>6</v>
      </c>
      <c r="H12">
        <f>VLOOKUP(E12,商品マスタ!$A$2:$C$13,3,FALSE)</f>
      </c>
      <c r="I12">
        <f>G12*H12</f>
      </c>
      <c r="J12">
        <f>VLOOKUP(C12,顧客マスタ!$A$2:$E$16,5,FALSE)</f>
      </c>
      <c r="K12" t="str">
        <v>出荷準備</v>
      </c>
      <c r="L12" t="str">
        <v>2024-10-21</v>
      </c>
      <c r="M12">
        <f>IF(K12="納品完了","完了",IF(L12&lt;TODAY(),"遅延","正常"))</f>
      </c>
      <c r="N12" t="str">
        <v/>
      </c>
    </row>
    <row r="13">
      <c r="A13" t="str">
        <v>ORD202410000012</v>
      </c>
      <c r="B13" t="str">
        <v>2024-10-10</v>
      </c>
      <c r="C13" t="str">
        <v>C015</v>
      </c>
      <c r="D13">
        <f>VLOOKUP(C13,顧客マスタ!$A$2:$B$16,2,FALSE)</f>
      </c>
      <c r="E13" t="str">
        <v>P012</v>
      </c>
      <c r="F13">
        <f>VLOOKUP(E13,商品マスタ!$A$2:$B$13,2,FALSE)</f>
      </c>
      <c r="G13">
        <v>1</v>
      </c>
      <c r="H13">
        <f>VLOOKUP(E13,商品マスタ!$A$2:$C$13,3,FALSE)</f>
      </c>
      <c r="I13">
        <f>G13*H13</f>
      </c>
      <c r="J13">
        <f>VLOOKUP(C13,顧客マスタ!$A$2:$E$16,5,FALSE)</f>
      </c>
      <c r="K13" t="str">
        <v>納品完了</v>
      </c>
      <c r="L13" t="str">
        <v>2024-10-17</v>
      </c>
      <c r="M13">
        <f>IF(K13="納品完了","完了",IF(L13&lt;TODAY(),"遅延","正常"))</f>
      </c>
      <c r="N13" t="str">
        <v>期限内納品</v>
      </c>
    </row>
    <row r="14">
      <c r="A14" t="str">
        <v>ORD202410000013</v>
      </c>
      <c r="B14" t="str">
        <v>2024-09-28</v>
      </c>
      <c r="C14" t="str">
        <v>C001</v>
      </c>
      <c r="D14">
        <f>VLOOKUP(C14,顧客マスタ!$A$2:$B$16,2,FALSE)</f>
      </c>
      <c r="E14" t="str">
        <v>P007</v>
      </c>
      <c r="F14">
        <f>VLOOKUP(E14,商品マスタ!$A$2:$B$13,2,FALSE)</f>
      </c>
      <c r="G14">
        <v>3</v>
      </c>
      <c r="H14">
        <f>VLOOKUP(E14,商品マスタ!$A$2:$C$13,3,FALSE)</f>
      </c>
      <c r="I14">
        <f>G14*H14</f>
      </c>
      <c r="J14">
        <f>VLOOKUP(C14,顧客マスタ!$A$2:$E$16,5,FALSE)</f>
      </c>
      <c r="K14" t="str">
        <v>受注</v>
      </c>
      <c r="L14" t="str">
        <v>2024-10-10</v>
      </c>
      <c r="M14">
        <f>IF(K14="納品完了","完了",IF(L14&lt;TODAY(),"遅延","正常"))</f>
      </c>
      <c r="N14" t="str">
        <v>納期遅延注意</v>
      </c>
    </row>
    <row r="15">
      <c r="A15" t="str">
        <v>ORD202410000014</v>
      </c>
      <c r="B15" t="str">
        <v>2024-09-29</v>
      </c>
      <c r="C15" t="str">
        <v>C013</v>
      </c>
      <c r="D15">
        <f>VLOOKUP(C15,顧客マスタ!$A$2:$B$16,2,FALSE)</f>
      </c>
      <c r="E15" t="str">
        <v>P001</v>
      </c>
      <c r="F15">
        <f>VLOOKUP(E15,商品マスタ!$A$2:$B$13,2,FALSE)</f>
      </c>
      <c r="G15">
        <v>7</v>
      </c>
      <c r="H15">
        <f>VLOOKUP(E15,商品マスタ!$A$2:$C$13,3,FALSE)</f>
      </c>
      <c r="I15">
        <f>G15*H15</f>
      </c>
      <c r="J15">
        <f>VLOOKUP(C15,顧客マスタ!$A$2:$E$16,5,FALSE)</f>
      </c>
      <c r="K15" t="str">
        <v>製造中</v>
      </c>
      <c r="L15" t="str">
        <v>2024-10-16</v>
      </c>
      <c r="M15">
        <f>IF(K15="納品完了","完了",IF(L15&lt;TODAY(),"遅延","正常"))</f>
      </c>
      <c r="N15" t="str">
        <v/>
      </c>
    </row>
    <row r="16">
      <c r="A16" t="str">
        <v>ORD202410000015</v>
      </c>
      <c r="B16" t="str">
        <v>2024-09-30</v>
      </c>
      <c r="C16" t="str">
        <v>C010</v>
      </c>
      <c r="D16">
        <f>VLOOKUP(C16,顧客マスタ!$A$2:$B$16,2,FALSE)</f>
      </c>
      <c r="E16" t="str">
        <v>P004</v>
      </c>
      <c r="F16">
        <f>VLOOKUP(E16,商品マスタ!$A$2:$B$13,2,FALSE)</f>
      </c>
      <c r="G16">
        <v>2</v>
      </c>
      <c r="H16">
        <f>VLOOKUP(E16,商品マスタ!$A$2:$C$13,3,FALSE)</f>
      </c>
      <c r="I16">
        <f>G16*H16</f>
      </c>
      <c r="J16">
        <f>VLOOKUP(C16,顧客マスタ!$A$2:$E$16,5,FALSE)</f>
      </c>
      <c r="K16" t="str">
        <v>出荷準備</v>
      </c>
      <c r="L16" t="str">
        <v>2024-10-13</v>
      </c>
      <c r="M16">
        <f>IF(K16="納品完了","完了",IF(L16&lt;TODAY(),"遅延","正常"))</f>
      </c>
      <c r="N16" t="str">
        <v/>
      </c>
    </row>
    <row r="17">
      <c r="A17" t="str">
        <v>ORD202410000016</v>
      </c>
      <c r="B17" t="str">
        <v>2024-10-11</v>
      </c>
      <c r="C17" t="str">
        <v>C014</v>
      </c>
      <c r="D17">
        <f>VLOOKUP(C17,顧客マスタ!$A$2:$B$16,2,FALSE)</f>
      </c>
      <c r="E17" t="str">
        <v>P002</v>
      </c>
      <c r="F17">
        <f>VLOOKUP(E17,商品マスタ!$A$2:$B$13,2,FALSE)</f>
      </c>
      <c r="G17">
        <v>4</v>
      </c>
      <c r="H17">
        <f>VLOOKUP(E17,商品マスタ!$A$2:$C$13,3,FALSE)</f>
      </c>
      <c r="I17">
        <f>G17*H17</f>
      </c>
      <c r="J17">
        <f>VLOOKUP(C17,顧客マスタ!$A$2:$E$16,5,FALSE)</f>
      </c>
      <c r="K17" t="str">
        <v>受注</v>
      </c>
      <c r="L17" t="str">
        <v>2024-10-26</v>
      </c>
      <c r="M17">
        <f>IF(K17="納品完了","完了",IF(L17&lt;TODAY(),"遅延","正常"))</f>
      </c>
      <c r="N17" t="str">
        <v/>
      </c>
    </row>
    <row r="18">
      <c r="A18" t="str">
        <v>ORD202410000017</v>
      </c>
      <c r="B18" t="str">
        <v>2024-10-11</v>
      </c>
      <c r="C18" t="str">
        <v>C003</v>
      </c>
      <c r="D18">
        <f>VLOOKUP(C18,顧客マスタ!$A$2:$B$16,2,FALSE)</f>
      </c>
      <c r="E18" t="str">
        <v>P011</v>
      </c>
      <c r="F18">
        <f>VLOOKUP(E18,商品マスタ!$A$2:$B$13,2,FALSE)</f>
      </c>
      <c r="G18">
        <v>1</v>
      </c>
      <c r="H18">
        <f>VLOOKUP(E18,商品マスタ!$A$2:$C$13,3,FALSE)</f>
      </c>
      <c r="I18">
        <f>G18*H18</f>
      </c>
      <c r="J18">
        <f>VLOOKUP(C18,顧客マスタ!$A$2:$E$16,5,FALSE)</f>
      </c>
      <c r="K18" t="str">
        <v>製造中</v>
      </c>
      <c r="L18" t="str">
        <v>2024-10-27</v>
      </c>
      <c r="M18">
        <f>IF(K18="納品完了","完了",IF(L18&lt;TODAY(),"遅延","正常"))</f>
      </c>
      <c r="N18" t="str">
        <v/>
      </c>
    </row>
    <row r="19">
      <c r="A19" t="str">
        <v>ORD202410000018</v>
      </c>
      <c r="B19" t="str">
        <v>2024-10-12</v>
      </c>
      <c r="C19" t="str">
        <v>C005</v>
      </c>
      <c r="D19">
        <f>VLOOKUP(C19,顧客マスタ!$A$2:$B$16,2,FALSE)</f>
      </c>
      <c r="E19" t="str">
        <v>P003</v>
      </c>
      <c r="F19">
        <f>VLOOKUP(E19,商品マスタ!$A$2:$B$13,2,FALSE)</f>
      </c>
      <c r="G19">
        <v>3</v>
      </c>
      <c r="H19">
        <f>VLOOKUP(E19,商品マスタ!$A$2:$C$13,3,FALSE)</f>
      </c>
      <c r="I19">
        <f>G19*H19</f>
      </c>
      <c r="J19">
        <f>VLOOKUP(C19,顧客マスタ!$A$2:$E$16,5,FALSE)</f>
      </c>
      <c r="K19" t="str">
        <v>出荷準備</v>
      </c>
      <c r="L19" t="str">
        <v>2024-10-23</v>
      </c>
      <c r="M19">
        <f>IF(K19="納品完了","完了",IF(L19&lt;TODAY(),"遅延","正常"))</f>
      </c>
      <c r="N19" t="str">
        <v/>
      </c>
    </row>
    <row r="20">
      <c r="A20" t="str">
        <v>ORD202410000019</v>
      </c>
      <c r="B20" t="str">
        <v>2024-10-12</v>
      </c>
      <c r="C20" t="str">
        <v>C002</v>
      </c>
      <c r="D20">
        <f>VLOOKUP(C20,顧客マスタ!$A$2:$B$16,2,FALSE)</f>
      </c>
      <c r="E20" t="str">
        <v>P008</v>
      </c>
      <c r="F20">
        <f>VLOOKUP(E20,商品マスタ!$A$2:$B$13,2,FALSE)</f>
      </c>
      <c r="G20">
        <v>2</v>
      </c>
      <c r="H20">
        <f>VLOOKUP(E20,商品マスタ!$A$2:$C$13,3,FALSE)</f>
      </c>
      <c r="I20">
        <f>G20*H20</f>
      </c>
      <c r="J20">
        <f>VLOOKUP(C20,顧客マスタ!$A$2:$E$16,5,FALSE)</f>
      </c>
      <c r="K20" t="str">
        <v>納品完了</v>
      </c>
      <c r="L20" t="str">
        <v>2024-10-19</v>
      </c>
      <c r="M20">
        <f>IF(K20="納品完了","完了",IF(L20&lt;TODAY(),"遅延","正常"))</f>
      </c>
      <c r="N20" t="str">
        <v>期限内納品</v>
      </c>
    </row>
    <row r="21">
      <c r="A21" t="str">
        <v>ORD202410000020</v>
      </c>
      <c r="B21" t="str">
        <v>2024-10-13</v>
      </c>
      <c r="C21" t="str">
        <v>C007</v>
      </c>
      <c r="D21">
        <f>VLOOKUP(C21,顧客マスタ!$A$2:$B$16,2,FALSE)</f>
      </c>
      <c r="E21" t="str">
        <v>P006</v>
      </c>
      <c r="F21">
        <f>VLOOKUP(E21,商品マスタ!$A$2:$B$13,2,FALSE)</f>
      </c>
      <c r="G21">
        <v>8</v>
      </c>
      <c r="H21">
        <f>VLOOKUP(E21,商品マスタ!$A$2:$C$13,3,FALSE)</f>
      </c>
      <c r="I21">
        <f>G21*H21</f>
      </c>
      <c r="J21">
        <f>VLOOKUP(C21,顧客マスタ!$A$2:$E$16,5,FALSE)</f>
      </c>
      <c r="K21" t="str">
        <v>受注</v>
      </c>
      <c r="L21" t="str">
        <v>2024-10-29</v>
      </c>
      <c r="M21">
        <f>IF(K21="納品完了","完了",IF(L21&lt;TODAY(),"遅延","正常"))</f>
      </c>
      <c r="N21" t="str">
        <v/>
      </c>
    </row>
    <row r="22">
      <c r="A22" t="str">
        <v>ORD202410000021</v>
      </c>
      <c r="B22" t="str">
        <v>2024-10-13</v>
      </c>
      <c r="C22" t="str">
        <v>C004</v>
      </c>
      <c r="D22">
        <f>VLOOKUP(C22,顧客マスタ!$A$2:$B$16,2,FALSE)</f>
      </c>
      <c r="E22" t="str">
        <v>P005</v>
      </c>
      <c r="F22">
        <f>VLOOKUP(E22,商品マスタ!$A$2:$B$13,2,FALSE)</f>
      </c>
      <c r="G22">
        <v>6</v>
      </c>
      <c r="H22">
        <f>VLOOKUP(E22,商品マスタ!$A$2:$C$13,3,FALSE)</f>
      </c>
      <c r="I22">
        <f>G22*H22</f>
      </c>
      <c r="J22">
        <f>VLOOKUP(C22,顧客マスタ!$A$2:$E$16,5,FALSE)</f>
      </c>
      <c r="K22" t="str">
        <v>製造中</v>
      </c>
      <c r="L22" t="str">
        <v>2024-10-30</v>
      </c>
      <c r="M22">
        <f>IF(K22="納品完了","完了",IF(L22&lt;TODAY(),"遅延","正常"))</f>
      </c>
      <c r="N22" t="str">
        <v/>
      </c>
    </row>
    <row r="23">
      <c r="A23" t="str">
        <v>ORD202410000022</v>
      </c>
      <c r="B23" t="str">
        <v>2024-10-14</v>
      </c>
      <c r="C23" t="str">
        <v>C009</v>
      </c>
      <c r="D23">
        <f>VLOOKUP(C23,顧客マスタ!$A$2:$B$16,2,FALSE)</f>
      </c>
      <c r="E23" t="str">
        <v>P010</v>
      </c>
      <c r="F23">
        <f>VLOOKUP(E23,商品マスタ!$A$2:$B$13,2,FALSE)</f>
      </c>
      <c r="G23">
        <v>5</v>
      </c>
      <c r="H23">
        <f>VLOOKUP(E23,商品マスタ!$A$2:$C$13,3,FALSE)</f>
      </c>
      <c r="I23">
        <f>G23*H23</f>
      </c>
      <c r="J23">
        <f>VLOOKUP(C23,顧客マスタ!$A$2:$E$16,5,FALSE)</f>
      </c>
      <c r="K23" t="str">
        <v>出荷準備</v>
      </c>
      <c r="L23" t="str">
        <v>2024-10-28</v>
      </c>
      <c r="M23">
        <f>IF(K23="納品完了","完了",IF(L23&lt;TODAY(),"遅延","正常"))</f>
      </c>
      <c r="N23" t="str">
        <v/>
      </c>
    </row>
    <row r="24">
      <c r="A24" t="str">
        <v>ORD202410000023</v>
      </c>
      <c r="B24" t="str">
        <v>2024-10-14</v>
      </c>
      <c r="C24" t="str">
        <v>C011</v>
      </c>
      <c r="D24">
        <f>VLOOKUP(C24,顧客マスタ!$A$2:$B$16,2,FALSE)</f>
      </c>
      <c r="E24" t="str">
        <v>P009</v>
      </c>
      <c r="F24">
        <f>VLOOKUP(E24,商品マスタ!$A$2:$B$13,2,FALSE)</f>
      </c>
      <c r="G24">
        <v>7</v>
      </c>
      <c r="H24">
        <f>VLOOKUP(E24,商品マスタ!$A$2:$C$13,3,FALSE)</f>
      </c>
      <c r="I24">
        <f>G24*H24</f>
      </c>
      <c r="J24">
        <f>VLOOKUP(C24,顧客マスタ!$A$2:$E$16,5,FALSE)</f>
      </c>
      <c r="K24" t="str">
        <v>納品完了</v>
      </c>
      <c r="L24" t="str">
        <v>2024-10-21</v>
      </c>
      <c r="M24">
        <f>IF(K24="納品完了","完了",IF(L24&lt;TODAY(),"遅延","正常"))</f>
      </c>
      <c r="N24" t="str">
        <v>期限内納品</v>
      </c>
    </row>
    <row r="25">
      <c r="A25" t="str">
        <v>ORD202410000024</v>
      </c>
      <c r="B25" t="str">
        <v>2024-10-15</v>
      </c>
      <c r="C25" t="str">
        <v>C006</v>
      </c>
      <c r="D25">
        <f>VLOOKUP(C25,顧客マスタ!$A$2:$B$16,2,FALSE)</f>
      </c>
      <c r="E25" t="str">
        <v>P012</v>
      </c>
      <c r="F25">
        <f>VLOOKUP(E25,商品マスタ!$A$2:$B$13,2,FALSE)</f>
      </c>
      <c r="G25">
        <v>1</v>
      </c>
      <c r="H25">
        <f>VLOOKUP(E25,商品マスタ!$A$2:$C$13,3,FALSE)</f>
      </c>
      <c r="I25">
        <f>G25*H25</f>
      </c>
      <c r="J25">
        <f>VLOOKUP(C25,顧客マスタ!$A$2:$E$16,5,FALSE)</f>
      </c>
      <c r="K25" t="str">
        <v>受注</v>
      </c>
      <c r="L25" t="str">
        <v>2024-11-01</v>
      </c>
      <c r="M25">
        <f>IF(K25="納品完了","完了",IF(L25&lt;TODAY(),"遅延","正常"))</f>
      </c>
      <c r="N25" t="str">
        <v/>
      </c>
    </row>
    <row r="26">
      <c r="A26" t="str">
        <v>ORD202410000025</v>
      </c>
      <c r="B26" t="str">
        <v>2024-09-25</v>
      </c>
      <c r="C26" t="str">
        <v>C012</v>
      </c>
      <c r="D26">
        <f>VLOOKUP(C26,顧客マスタ!$A$2:$B$16,2,FALSE)</f>
      </c>
      <c r="E26" t="str">
        <v>P001</v>
      </c>
      <c r="F26">
        <f>VLOOKUP(E26,商品マスタ!$A$2:$B$13,2,FALSE)</f>
      </c>
      <c r="G26">
        <v>4</v>
      </c>
      <c r="H26">
        <f>VLOOKUP(E26,商品マスタ!$A$2:$C$13,3,FALSE)</f>
      </c>
      <c r="I26">
        <f>G26*H26</f>
      </c>
      <c r="J26">
        <f>VLOOKUP(C26,顧客マスタ!$A$2:$E$16,5,FALSE)</f>
      </c>
      <c r="K26" t="str">
        <v>製造中</v>
      </c>
      <c r="L26" t="str">
        <v>2024-10-08</v>
      </c>
      <c r="M26">
        <f>IF(K26="納品完了","完了",IF(L26&lt;TODAY(),"遅延","正常"))</f>
      </c>
      <c r="N26" t="str">
        <v>納期超過</v>
      </c>
    </row>
    <row r="27">
      <c r="A27" t="str">
        <v>ORD202410000026</v>
      </c>
      <c r="B27" t="str">
        <v>2024-09-26</v>
      </c>
      <c r="C27" t="str">
        <v>C008</v>
      </c>
      <c r="D27">
        <f>VLOOKUP(C27,顧客マスタ!$A$2:$B$16,2,FALSE)</f>
      </c>
      <c r="E27" t="str">
        <v>P007</v>
      </c>
      <c r="F27">
        <f>VLOOKUP(E27,商品マスタ!$A$2:$B$13,2,FALSE)</f>
      </c>
      <c r="G27">
        <v>5</v>
      </c>
      <c r="H27">
        <f>VLOOKUP(E27,商品マスタ!$A$2:$C$13,3,FALSE)</f>
      </c>
      <c r="I27">
        <f>G27*H27</f>
      </c>
      <c r="J27">
        <f>VLOOKUP(C27,顧客マスタ!$A$2:$E$16,5,FALSE)</f>
      </c>
      <c r="K27" t="str">
        <v>出荷準備</v>
      </c>
      <c r="L27" t="str">
        <v>2024-10-11</v>
      </c>
      <c r="M27">
        <f>IF(K27="納品完了","完了",IF(L27&lt;TODAY(),"遅延","正常"))</f>
      </c>
      <c r="N27" t="str">
        <v/>
      </c>
    </row>
    <row r="28">
      <c r="A28" t="str">
        <v>ORD202410000027</v>
      </c>
      <c r="B28" t="str">
        <v>2024-10-15</v>
      </c>
      <c r="C28" t="str">
        <v>C015</v>
      </c>
      <c r="D28">
        <f>VLOOKUP(C28,顧客マスタ!$A$2:$B$16,2,FALSE)</f>
      </c>
      <c r="E28" t="str">
        <v>P004</v>
      </c>
      <c r="F28">
        <f>VLOOKUP(E28,商品マスタ!$A$2:$B$13,2,FALSE)</f>
      </c>
      <c r="G28">
        <v>3</v>
      </c>
      <c r="H28">
        <f>VLOOKUP(E28,商品マスタ!$A$2:$C$13,3,FALSE)</f>
      </c>
      <c r="I28">
        <f>G28*H28</f>
      </c>
      <c r="J28">
        <f>VLOOKUP(C28,顧客マスタ!$A$2:$E$16,5,FALSE)</f>
      </c>
      <c r="K28" t="str">
        <v>受注</v>
      </c>
      <c r="L28" t="str">
        <v>2024-11-05</v>
      </c>
      <c r="M28">
        <f>IF(K28="納品完了","完了",IF(L28&lt;TODAY(),"遅延","正常"))</f>
      </c>
      <c r="N28" t="str">
        <v/>
      </c>
    </row>
    <row r="29">
      <c r="A29" t="str">
        <v>ORD202410000028</v>
      </c>
      <c r="B29" t="str">
        <v>2024-10-15</v>
      </c>
      <c r="C29" t="str">
        <v>C013</v>
      </c>
      <c r="D29">
        <f>VLOOKUP(C29,顧客マスタ!$A$2:$B$16,2,FALSE)</f>
      </c>
      <c r="E29" t="str">
        <v>P002</v>
      </c>
      <c r="F29">
        <f>VLOOKUP(E29,商品マスタ!$A$2:$B$13,2,FALSE)</f>
      </c>
      <c r="G29">
        <v>2</v>
      </c>
      <c r="H29">
        <f>VLOOKUP(E29,商品マスタ!$A$2:$C$13,3,FALSE)</f>
      </c>
      <c r="I29">
        <f>G29*H29</f>
      </c>
      <c r="J29">
        <f>VLOOKUP(C29,顧客マスタ!$A$2:$E$16,5,FALSE)</f>
      </c>
      <c r="K29" t="str">
        <v>製造中</v>
      </c>
      <c r="L29" t="str">
        <v>2024-11-02</v>
      </c>
      <c r="M29">
        <f>IF(K29="納品完了","完了",IF(L29&lt;TODAY(),"遅延","正常"))</f>
      </c>
      <c r="N29" t="str">
        <v/>
      </c>
    </row>
    <row r="30">
      <c r="A30" t="str">
        <v>ORD202410000029</v>
      </c>
      <c r="B30" t="str">
        <v>2024-10-15</v>
      </c>
      <c r="C30" t="str">
        <v>C010</v>
      </c>
      <c r="D30">
        <f>VLOOKUP(C30,顧客マスタ!$A$2:$B$16,2,FALSE)</f>
      </c>
      <c r="E30" t="str">
        <v>P011</v>
      </c>
      <c r="F30">
        <f>VLOOKUP(E30,商品マスタ!$A$2:$B$13,2,FALSE)</f>
      </c>
      <c r="G30">
        <v>1</v>
      </c>
      <c r="H30">
        <f>VLOOKUP(E30,商品マスタ!$A$2:$C$13,3,FALSE)</f>
      </c>
      <c r="I30">
        <f>G30*H30</f>
      </c>
      <c r="J30">
        <f>VLOOKUP(C30,顧客マスタ!$A$2:$E$16,5,FALSE)</f>
      </c>
      <c r="K30" t="str">
        <v>出荷準備</v>
      </c>
      <c r="L30" t="str">
        <v>2024-11-03</v>
      </c>
      <c r="M30">
        <f>IF(K30="納品完了","完了",IF(L30&lt;TODAY(),"遅延","正常"))</f>
      </c>
      <c r="N30" t="str">
        <v/>
      </c>
    </row>
    <row r="31">
      <c r="A31" t="str">
        <v>ORD202410000030</v>
      </c>
      <c r="B31" t="str">
        <v>2024-10-15</v>
      </c>
      <c r="C31" t="str">
        <v>C014</v>
      </c>
      <c r="D31">
        <f>VLOOKUP(C31,顧客マスタ!$A$2:$B$16,2,FALSE)</f>
      </c>
      <c r="E31" t="str">
        <v>P003</v>
      </c>
      <c r="F31">
        <f>VLOOKUP(E31,商品マスタ!$A$2:$B$13,2,FALSE)</f>
      </c>
      <c r="G31">
        <v>4</v>
      </c>
      <c r="H31">
        <f>VLOOKUP(E31,商品マスタ!$A$2:$C$13,3,FALSE)</f>
      </c>
      <c r="I31">
        <f>G31*H31</f>
      </c>
      <c r="J31">
        <f>VLOOKUP(C31,顧客マスタ!$A$2:$E$16,5,FALSE)</f>
      </c>
      <c r="K31" t="str">
        <v>納品完了</v>
      </c>
      <c r="L31" t="str">
        <v>2024-10-22</v>
      </c>
      <c r="M31">
        <f>IF(K31="納品完了","完了",IF(L31&lt;TODAY(),"遅延","正常"))</f>
      </c>
      <c r="N31" t="str">
        <v/>
      </c>
    </row>
  </sheetData>
  <ignoredErrors>
    <ignoredError numberStoredAsText="1" sqref="A1:N3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:E18"/>
  <sheetViews>
    <sheetView workbookViewId="0"/>
  </sheetViews>
  <cols>
    <col min="1" max="1" width="8.83203125" customWidth="1"/>
    <col min="2" max="2" width="30.83203125" customWidth="1"/>
    <col min="3" max="3" width="10.83203125" customWidth="1"/>
    <col min="4" max="4" width="15.83203125" customWidth="1"/>
    <col min="5" max="5" width="15.83203125" customWidth="1"/>
  </cols>
  <sheetData>
    <row r="1">
      <c r="A1" t="str">
        <v/>
      </c>
      <c r="B1" t="str">
        <v>見積書</v>
      </c>
      <c r="C1" t="str">
        <v/>
      </c>
      <c r="D1" t="str">
        <v/>
      </c>
      <c r="E1" t="str">
        <v/>
      </c>
    </row>
    <row r="2">
      <c r="A2" t="str">
        <v>見積書番号:</v>
      </c>
      <c r="B2" t="str">
        <v>Q-ORD202410000001</v>
      </c>
      <c r="C2" t="str">
        <v/>
      </c>
      <c r="D2" t="str">
        <v/>
      </c>
      <c r="E2" t="str">
        <v/>
      </c>
    </row>
    <row r="3">
      <c r="A3" t="str">
        <v>発行日:</v>
      </c>
      <c r="B3">
        <f>TEXT(TODAY(),"yyyy/mm/dd")</f>
      </c>
      <c r="C3" t="str">
        <v/>
      </c>
      <c r="D3" t="str">
        <v/>
      </c>
      <c r="E3" t="str">
        <v/>
      </c>
    </row>
    <row r="4">
      <c r="A4" t="str">
        <v/>
      </c>
      <c r="B4" t="str">
        <v/>
      </c>
      <c r="C4" t="str">
        <v/>
      </c>
      <c r="D4" t="str">
        <v/>
      </c>
      <c r="E4" t="str">
        <v/>
      </c>
    </row>
    <row r="5">
      <c r="A5" t="str">
        <v>顧客名:</v>
      </c>
      <c r="B5" t="str">
        <v/>
      </c>
      <c r="C5" t="str">
        <v/>
      </c>
      <c r="D5" t="str">
        <v/>
      </c>
      <c r="E5" t="str">
        <v/>
      </c>
    </row>
    <row r="6">
      <c r="A6" t="str">
        <v/>
      </c>
      <c r="B6" t="str">
        <v/>
      </c>
      <c r="C6" t="str">
        <v/>
      </c>
      <c r="D6" t="str">
        <v/>
      </c>
      <c r="E6" t="str">
        <v/>
      </c>
    </row>
    <row r="7">
      <c r="A7" t="str">
        <v/>
      </c>
      <c r="B7" t="str">
        <v/>
      </c>
      <c r="C7" t="str">
        <v/>
      </c>
      <c r="D7" t="str">
        <v/>
      </c>
      <c r="E7" t="str">
        <v/>
      </c>
    </row>
    <row r="8">
      <c r="A8" t="str">
        <v>件名:</v>
      </c>
      <c r="B8" t="str">
        <v>製品見積もり</v>
      </c>
      <c r="C8" t="str">
        <v/>
      </c>
      <c r="D8" t="str">
        <v/>
      </c>
      <c r="E8" t="str">
        <v/>
      </c>
    </row>
    <row r="9">
      <c r="A9" t="str">
        <v/>
      </c>
      <c r="B9" t="str">
        <v/>
      </c>
      <c r="C9" t="str">
        <v/>
      </c>
      <c r="D9" t="str">
        <v/>
      </c>
      <c r="E9" t="str">
        <v/>
      </c>
    </row>
    <row r="10">
      <c r="A10" t="str">
        <v>No.</v>
      </c>
      <c r="B10" t="str">
        <v>商品名</v>
      </c>
      <c r="C10" t="str">
        <v>数量</v>
      </c>
      <c r="D10" t="str">
        <v>単価</v>
      </c>
      <c r="E10" t="str">
        <v>金額</v>
      </c>
    </row>
    <row r="11">
      <c r="A11" t="str">
        <v>1</v>
      </c>
      <c r="B11" t="str">
        <v/>
      </c>
      <c r="C11" t="str">
        <v/>
      </c>
      <c r="D11" t="str">
        <v/>
      </c>
      <c r="E11" t="str">
        <v/>
      </c>
    </row>
    <row r="12">
      <c r="A12" t="str">
        <v/>
      </c>
      <c r="B12" t="str">
        <v/>
      </c>
      <c r="C12" t="str">
        <v/>
      </c>
      <c r="D12" t="str">
        <v/>
      </c>
      <c r="E12" t="str">
        <v/>
      </c>
    </row>
    <row r="13">
      <c r="A13" t="str">
        <v/>
      </c>
      <c r="B13" t="str">
        <v/>
      </c>
      <c r="C13" t="str">
        <v/>
      </c>
      <c r="D13" t="str">
        <v>小計:</v>
      </c>
      <c r="E13">
        <f>E11</f>
      </c>
    </row>
    <row r="14">
      <c r="A14" t="str">
        <v/>
      </c>
      <c r="B14" t="str">
        <v/>
      </c>
      <c r="C14" t="str">
        <v/>
      </c>
      <c r="D14" t="str">
        <v>消費税(10%):</v>
      </c>
      <c r="E14">
        <f>E13*0.1</f>
      </c>
    </row>
    <row r="15">
      <c r="A15" t="str">
        <v/>
      </c>
      <c r="B15" t="str">
        <v/>
      </c>
      <c r="C15" t="str">
        <v/>
      </c>
      <c r="D15" t="str">
        <v>合計:</v>
      </c>
      <c r="E15">
        <f>E13+E14</f>
      </c>
    </row>
    <row r="16">
      <c r="A16" t="str">
        <v/>
      </c>
      <c r="B16" t="str">
        <v/>
      </c>
      <c r="C16" t="str">
        <v/>
      </c>
      <c r="D16" t="str">
        <v/>
      </c>
      <c r="E16" t="str">
        <v/>
      </c>
    </row>
    <row r="17">
      <c r="A17" t="str">
        <v>備考:</v>
      </c>
      <c r="B17" t="str">
        <v/>
      </c>
      <c r="C17" t="str">
        <v/>
      </c>
      <c r="D17" t="str">
        <v/>
      </c>
      <c r="E17" t="str">
        <v/>
      </c>
    </row>
    <row r="18">
      <c r="A18" t="str">
        <v>納期は受注後2週間を予定しております</v>
      </c>
      <c r="B18" t="str">
        <v/>
      </c>
      <c r="C18" t="str">
        <v/>
      </c>
      <c r="D18" t="str">
        <v/>
      </c>
      <c r="E18" t="str">
        <v/>
      </c>
    </row>
  </sheetData>
  <ignoredErrors>
    <ignoredError numberStoredAsText="1" sqref="A1:E18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:E18"/>
  <sheetViews>
    <sheetView workbookViewId="0"/>
  </sheetViews>
  <cols>
    <col min="1" max="1" width="15.83203125" customWidth="1"/>
    <col min="2" max="2" width="30.83203125" customWidth="1"/>
    <col min="3" max="3" width="10.83203125" customWidth="1"/>
    <col min="4" max="4" width="15.83203125" customWidth="1"/>
    <col min="5" max="5" width="15.83203125" customWidth="1"/>
  </cols>
  <sheetData>
    <row r="1">
      <c r="A1" t="str">
        <v/>
      </c>
      <c r="B1" t="str">
        <v>請求書</v>
      </c>
      <c r="C1" t="str">
        <v/>
      </c>
      <c r="D1" t="str">
        <v/>
      </c>
      <c r="E1" t="str">
        <v/>
      </c>
    </row>
    <row r="2">
      <c r="A2" t="str">
        <v>請求書番号:</v>
      </c>
      <c r="B2" t="str">
        <v>INV-ORD202410000001</v>
      </c>
      <c r="C2" t="str">
        <v/>
      </c>
      <c r="D2" t="str">
        <v/>
      </c>
      <c r="E2" t="str">
        <v/>
      </c>
    </row>
    <row r="3">
      <c r="A3" t="str">
        <v>発行日:</v>
      </c>
      <c r="B3">
        <f>TEXT(TODAY(),"yyyy/mm/dd")</f>
      </c>
      <c r="C3" t="str">
        <v/>
      </c>
      <c r="D3" t="str">
        <v/>
      </c>
      <c r="E3" t="str">
        <v/>
      </c>
    </row>
    <row r="4">
      <c r="A4" t="str">
        <v/>
      </c>
      <c r="B4" t="str">
        <v/>
      </c>
      <c r="C4" t="str">
        <v/>
      </c>
      <c r="D4" t="str">
        <v/>
      </c>
      <c r="E4" t="str">
        <v/>
      </c>
    </row>
    <row r="5">
      <c r="A5" t="str">
        <v>請求先:</v>
      </c>
      <c r="B5" t="str">
        <v/>
      </c>
      <c r="C5" t="str">
        <v/>
      </c>
      <c r="D5" t="str">
        <v/>
      </c>
      <c r="E5" t="str">
        <v/>
      </c>
    </row>
    <row r="6">
      <c r="A6" t="str">
        <v/>
      </c>
      <c r="B6" t="str">
        <v/>
      </c>
      <c r="C6" t="str">
        <v/>
      </c>
      <c r="D6" t="str">
        <v/>
      </c>
      <c r="E6" t="str">
        <v/>
      </c>
    </row>
    <row r="7">
      <c r="A7" t="str">
        <v/>
      </c>
      <c r="B7" t="str">
        <v/>
      </c>
      <c r="C7" t="str">
        <v/>
      </c>
      <c r="D7" t="str">
        <v/>
      </c>
      <c r="E7" t="str">
        <v/>
      </c>
    </row>
    <row r="8">
      <c r="A8" t="str">
        <v>件名:</v>
      </c>
      <c r="B8" t="str">
        <v>製品代金請求</v>
      </c>
      <c r="C8" t="str">
        <v/>
      </c>
      <c r="D8" t="str">
        <v/>
      </c>
      <c r="E8" t="str">
        <v/>
      </c>
    </row>
    <row r="9">
      <c r="A9" t="str">
        <v/>
      </c>
      <c r="B9" t="str">
        <v/>
      </c>
      <c r="C9" t="str">
        <v/>
      </c>
      <c r="D9" t="str">
        <v/>
      </c>
      <c r="E9" t="str">
        <v/>
      </c>
    </row>
    <row r="10">
      <c r="A10" t="str">
        <v>No.</v>
      </c>
      <c r="B10" t="str">
        <v>商品名</v>
      </c>
      <c r="C10" t="str">
        <v>数量</v>
      </c>
      <c r="D10" t="str">
        <v>単価</v>
      </c>
      <c r="E10" t="str">
        <v>金額</v>
      </c>
    </row>
    <row r="11">
      <c r="A11" t="str">
        <v>1</v>
      </c>
      <c r="B11" t="str">
        <v/>
      </c>
      <c r="C11" t="str">
        <v/>
      </c>
      <c r="D11" t="str">
        <v/>
      </c>
      <c r="E11" t="str">
        <v/>
      </c>
    </row>
    <row r="12">
      <c r="A12" t="str">
        <v/>
      </c>
      <c r="B12" t="str">
        <v/>
      </c>
      <c r="C12" t="str">
        <v/>
      </c>
      <c r="D12" t="str">
        <v/>
      </c>
      <c r="E12" t="str">
        <v/>
      </c>
    </row>
    <row r="13">
      <c r="A13" t="str">
        <v/>
      </c>
      <c r="B13" t="str">
        <v/>
      </c>
      <c r="C13" t="str">
        <v/>
      </c>
      <c r="D13" t="str">
        <v>小計:</v>
      </c>
      <c r="E13">
        <f>E11</f>
      </c>
    </row>
    <row r="14">
      <c r="A14" t="str">
        <v/>
      </c>
      <c r="B14" t="str">
        <v/>
      </c>
      <c r="C14" t="str">
        <v/>
      </c>
      <c r="D14" t="str">
        <v>消費税(10%):</v>
      </c>
      <c r="E14">
        <f>E13*0.1</f>
      </c>
    </row>
    <row r="15">
      <c r="A15" t="str">
        <v/>
      </c>
      <c r="B15" t="str">
        <v/>
      </c>
      <c r="C15" t="str">
        <v/>
      </c>
      <c r="D15" t="str">
        <v>合計:</v>
      </c>
      <c r="E15">
        <f>E13+E14</f>
      </c>
    </row>
    <row r="16">
      <c r="A16" t="str">
        <v/>
      </c>
      <c r="B16" t="str">
        <v/>
      </c>
      <c r="C16" t="str">
        <v/>
      </c>
      <c r="D16" t="str">
        <v/>
      </c>
      <c r="E16" t="str">
        <v/>
      </c>
    </row>
    <row r="17">
      <c r="A17" t="str">
        <v>お支払い期限:</v>
      </c>
      <c r="B17" t="str">
        <v>発行日より30日以内</v>
      </c>
      <c r="C17" t="str">
        <v/>
      </c>
      <c r="D17" t="str">
        <v/>
      </c>
      <c r="E17" t="str">
        <v/>
      </c>
    </row>
    <row r="18">
      <c r="A18" t="str">
        <v>振込先:</v>
      </c>
      <c r="B18" t="str">
        <v>○○銀行 ○○支店 普通 1234567</v>
      </c>
      <c r="C18" t="str">
        <v/>
      </c>
      <c r="D18" t="str">
        <v/>
      </c>
      <c r="E18" t="str">
        <v/>
      </c>
    </row>
  </sheetData>
  <ignoredErrors>
    <ignoredError numberStoredAsText="1" sqref="A1:E18"/>
  </ignoredErrors>
</worksheet>
</file>

<file path=xl/worksheets/sheet6.xml><?xml version="1.0" encoding="utf-8"?>
<worksheet xmlns="http://schemas.openxmlformats.org/spreadsheetml/2006/main" xmlns:r="http://schemas.openxmlformats.org/officeDocument/2006/relationships">
  <dimension ref="A1:F25"/>
  <sheetViews>
    <sheetView workbookViewId="0"/>
  </sheetViews>
  <cols>
    <col min="1" max="1" width="18.83203125" customWidth="1"/>
    <col min="2" max="2" width="15.83203125" customWidth="1"/>
    <col min="3" max="3" width="12.83203125" customWidth="1"/>
    <col min="4" max="4" width="12.83203125" customWidth="1"/>
    <col min="5" max="5" width="15.83203125" customWidth="1"/>
    <col min="6" max="6" width="12.83203125" customWidth="1"/>
  </cols>
  <sheetData>
    <row r="1">
      <c r="A1" t="str">
        <v>月次営業レポート</v>
      </c>
      <c r="B1" t="str">
        <v/>
      </c>
      <c r="C1" t="str">
        <v/>
      </c>
      <c r="D1" t="str">
        <v/>
      </c>
      <c r="E1" t="str">
        <v/>
      </c>
    </row>
    <row r="2">
      <c r="A2" t="str">
        <v>対象月:</v>
      </c>
      <c r="B2" t="str">
        <v>2024年10月</v>
      </c>
      <c r="C2" t="str">
        <v/>
      </c>
      <c r="D2" t="str">
        <v/>
      </c>
      <c r="E2" t="str">
        <v/>
      </c>
    </row>
    <row r="3">
      <c r="A3" t="str">
        <v>作成日:</v>
      </c>
      <c r="B3">
        <f>TEXT(TODAY(),"yyyy/mm/dd")</f>
      </c>
      <c r="C3" t="str">
        <v/>
      </c>
      <c r="D3" t="str">
        <v/>
      </c>
      <c r="E3" t="str">
        <v/>
      </c>
    </row>
    <row r="4">
      <c r="A4" t="str">
        <v/>
      </c>
      <c r="B4" t="str">
        <v/>
      </c>
      <c r="C4" t="str">
        <v/>
      </c>
      <c r="D4" t="str">
        <v/>
      </c>
      <c r="E4" t="str">
        <v/>
      </c>
    </row>
    <row r="5">
      <c r="A5" t="str">
        <v>受注番号</v>
      </c>
      <c r="B5" t="str">
        <v>担当営業</v>
      </c>
      <c r="C5" t="str">
        <v>顧客ID</v>
      </c>
      <c r="D5" t="str">
        <v>商品ID</v>
      </c>
      <c r="E5" t="str">
        <v>金額</v>
      </c>
      <c r="F5" t="str">
        <v>ステータス</v>
      </c>
    </row>
    <row r="6">
      <c r="A6" t="str">
        <v/>
      </c>
      <c r="B6" t="str">
        <v/>
      </c>
      <c r="C6" t="str">
        <v/>
      </c>
      <c r="D6" t="str">
        <v/>
      </c>
      <c r="E6" t="str">
        <v/>
      </c>
      <c r="F6" t="str">
        <v/>
      </c>
    </row>
    <row r="7">
      <c r="A7" t="str">
        <v/>
      </c>
      <c r="B7" t="str">
        <v/>
      </c>
      <c r="C7" t="str">
        <v/>
      </c>
      <c r="D7" t="str">
        <v/>
      </c>
      <c r="E7" t="str">
        <v/>
      </c>
      <c r="F7" t="str">
        <v/>
      </c>
    </row>
    <row r="8">
      <c r="A8" t="str">
        <v/>
      </c>
      <c r="B8" t="str">
        <v/>
      </c>
      <c r="C8" t="str">
        <v/>
      </c>
      <c r="D8" t="str">
        <v/>
      </c>
      <c r="E8" t="str">
        <v/>
      </c>
      <c r="F8" t="str">
        <v/>
      </c>
    </row>
    <row r="9">
      <c r="A9" t="str">
        <v/>
      </c>
      <c r="B9" t="str">
        <v/>
      </c>
      <c r="C9" t="str">
        <v/>
      </c>
      <c r="D9" t="str">
        <v/>
      </c>
      <c r="E9" t="str">
        <v/>
      </c>
      <c r="F9" t="str">
        <v/>
      </c>
    </row>
    <row r="10">
      <c r="A10" t="str">
        <v/>
      </c>
      <c r="B10" t="str">
        <v/>
      </c>
      <c r="C10" t="str">
        <v/>
      </c>
      <c r="D10" t="str">
        <v/>
      </c>
      <c r="E10" t="str">
        <v/>
      </c>
      <c r="F10" t="str">
        <v/>
      </c>
    </row>
    <row r="11">
      <c r="A11" t="str">
        <v/>
      </c>
      <c r="B11" t="str">
        <v/>
      </c>
      <c r="C11" t="str">
        <v/>
      </c>
      <c r="D11" t="str">
        <v/>
      </c>
      <c r="E11" t="str">
        <v/>
      </c>
      <c r="F11" t="str">
        <v/>
      </c>
    </row>
    <row r="12">
      <c r="A12" t="str">
        <v>サマリー</v>
      </c>
      <c r="B12" t="str">
        <v/>
      </c>
      <c r="C12" t="str">
        <v/>
      </c>
      <c r="D12" t="str">
        <v/>
      </c>
      <c r="E12" t="str">
        <v/>
      </c>
    </row>
    <row r="13">
      <c r="A13" t="str">
        <v>受注件数:</v>
      </c>
      <c r="B13">
        <f>COUNTA(受注データ!A2:A31)</f>
      </c>
      <c r="C13" t="str">
        <v>件</v>
      </c>
      <c r="D13" t="str">
        <v/>
      </c>
      <c r="E13" t="str">
        <v/>
      </c>
    </row>
    <row r="14">
      <c r="A14" t="str">
        <v>合計売上:</v>
      </c>
      <c r="B14">
        <f>SUM(受注データ!I2:I31)</f>
      </c>
      <c r="C14" t="str">
        <v>円</v>
      </c>
      <c r="D14" t="str">
        <v/>
      </c>
      <c r="E14" t="str">
        <v/>
      </c>
    </row>
    <row r="15">
      <c r="A15" t="str">
        <v>平均受注額:</v>
      </c>
      <c r="B15">
        <f>AVERAGE(受注データ!I2:I31)</f>
      </c>
      <c r="C15" t="str">
        <v>円</v>
      </c>
      <c r="D15" t="str">
        <v/>
      </c>
      <c r="E15" t="str">
        <v/>
      </c>
    </row>
    <row r="16">
      <c r="A16" t="str">
        <v/>
      </c>
      <c r="B16" t="str">
        <v/>
      </c>
      <c r="C16" t="str">
        <v/>
      </c>
      <c r="D16" t="str">
        <v/>
      </c>
      <c r="E16" t="str">
        <v/>
      </c>
    </row>
    <row r="17">
      <c r="A17" t="str">
        <v>ステータス別件数</v>
      </c>
      <c r="B17" t="str">
        <v/>
      </c>
      <c r="C17" t="str">
        <v/>
      </c>
      <c r="D17" t="str">
        <v/>
      </c>
      <c r="E17" t="str">
        <v/>
      </c>
    </row>
    <row r="18">
      <c r="A18" t="str">
        <v>受注:</v>
      </c>
      <c r="B18">
        <f>COUNTIF(受注データ!K2:K31,"受注")</f>
      </c>
      <c r="C18" t="str">
        <v>件</v>
      </c>
      <c r="D18" t="str">
        <v/>
      </c>
      <c r="E18" t="str">
        <v/>
      </c>
    </row>
    <row r="19">
      <c r="A19" t="str">
        <v>製造中:</v>
      </c>
      <c r="B19">
        <f>COUNTIF(受注データ!K2:K31,"製造中")</f>
      </c>
      <c r="C19" t="str">
        <v>件</v>
      </c>
      <c r="D19" t="str">
        <v/>
      </c>
      <c r="E19" t="str">
        <v/>
      </c>
    </row>
    <row r="20">
      <c r="A20" t="str">
        <v>出荷準備:</v>
      </c>
      <c r="B20">
        <f>COUNTIF(受注データ!K2:K31,"出荷準備")</f>
      </c>
      <c r="C20" t="str">
        <v>件</v>
      </c>
      <c r="D20" t="str">
        <v/>
      </c>
      <c r="E20" t="str">
        <v/>
      </c>
    </row>
    <row r="21">
      <c r="A21" t="str">
        <v>納品完了:</v>
      </c>
      <c r="B21">
        <f>COUNTIF(受注データ!K2:K31,"納品完了")</f>
      </c>
      <c r="C21" t="str">
        <v>件</v>
      </c>
      <c r="D21" t="str">
        <v/>
      </c>
      <c r="E21" t="str">
        <v/>
      </c>
    </row>
    <row r="22">
      <c r="A22" t="str">
        <v/>
      </c>
      <c r="B22" t="str">
        <v/>
      </c>
      <c r="C22" t="str">
        <v/>
      </c>
      <c r="D22" t="str">
        <v/>
      </c>
      <c r="E22" t="str">
        <v/>
      </c>
    </row>
    <row r="23">
      <c r="A23" t="str">
        <v>納期判定</v>
      </c>
      <c r="B23" t="str">
        <v/>
      </c>
      <c r="C23" t="str">
        <v/>
      </c>
      <c r="D23" t="str">
        <v/>
      </c>
      <c r="E23" t="str">
        <v/>
      </c>
    </row>
    <row r="24">
      <c r="A24" t="str">
        <v>正常:</v>
      </c>
      <c r="B24">
        <f>COUNTIF(受注データ!M2:M31,"正常")</f>
      </c>
      <c r="C24" t="str">
        <v>件</v>
      </c>
      <c r="D24" t="str">
        <v/>
      </c>
      <c r="E24" t="str">
        <v/>
      </c>
    </row>
    <row r="25">
      <c r="A25" t="str">
        <v>遅延:</v>
      </c>
      <c r="B25">
        <f>COUNTIF(受注データ!M2:M31,"遅延")</f>
      </c>
      <c r="C25" t="str">
        <v>件</v>
      </c>
      <c r="D25" t="str">
        <v/>
      </c>
      <c r="E25" t="str">
        <v/>
      </c>
    </row>
  </sheetData>
  <ignoredErrors>
    <ignoredError numberStoredAsText="1" sqref="A1:F25"/>
  </ignoredErrors>
</worksheet>
</file>

<file path=xl/worksheets/sheet7.xml><?xml version="1.0" encoding="utf-8"?>
<worksheet xmlns="http://schemas.openxmlformats.org/spreadsheetml/2006/main" xmlns:r="http://schemas.openxmlformats.org/officeDocument/2006/relationships">
  <dimension ref="A1:E19"/>
  <sheetViews>
    <sheetView workbookViewId="0"/>
  </sheetViews>
  <cols>
    <col min="1" max="1" width="18.83203125" customWidth="1"/>
    <col min="2" max="2" width="15.83203125" customWidth="1"/>
    <col min="3" max="3" width="18.83203125" customWidth="1"/>
    <col min="4" max="4" width="15.83203125" customWidth="1"/>
    <col min="5" max="5" width="10.83203125" customWidth="1"/>
  </cols>
  <sheetData>
    <row r="1">
      <c r="A1" t="str">
        <v>営業ダッシュボード</v>
      </c>
      <c r="B1" t="str">
        <v/>
      </c>
      <c r="C1" t="str">
        <v/>
      </c>
      <c r="D1" t="str">
        <v/>
      </c>
      <c r="E1" t="str">
        <v/>
      </c>
    </row>
    <row r="2">
      <c r="A2" t="str">
        <v>更新日:</v>
      </c>
      <c r="B2">
        <f>TEXT(TODAY(),"yyyy/mm/dd")</f>
      </c>
      <c r="C2" t="str">
        <v/>
      </c>
      <c r="D2" t="str">
        <v/>
      </c>
      <c r="E2" t="str">
        <v/>
      </c>
    </row>
    <row r="3">
      <c r="A3" t="str">
        <v/>
      </c>
      <c r="B3" t="str">
        <v/>
      </c>
      <c r="C3" t="str">
        <v/>
      </c>
      <c r="D3" t="str">
        <v/>
      </c>
      <c r="E3" t="str">
        <v/>
      </c>
    </row>
    <row r="4">
      <c r="A4" t="str">
        <v>全体指標</v>
      </c>
      <c r="B4" t="str">
        <v/>
      </c>
      <c r="C4" t="str">
        <v/>
      </c>
      <c r="D4" t="str">
        <v/>
      </c>
      <c r="E4" t="str">
        <v/>
      </c>
    </row>
    <row r="5">
      <c r="A5" t="str">
        <v>総受注件数:</v>
      </c>
      <c r="B5">
        <f>COUNTA(受注データ!A2:A31)</f>
      </c>
      <c r="C5" t="str">
        <v>件</v>
      </c>
      <c r="D5" t="str">
        <v/>
      </c>
      <c r="E5" t="str">
        <v/>
      </c>
    </row>
    <row r="6">
      <c r="A6" t="str">
        <v>総売上高:</v>
      </c>
      <c r="B6">
        <f>SUM(受注データ!I2:I31)</f>
      </c>
      <c r="C6" t="str">
        <v>円</v>
      </c>
      <c r="D6" t="str">
        <v/>
      </c>
      <c r="E6" t="str">
        <v/>
      </c>
    </row>
    <row r="7">
      <c r="A7" t="str">
        <v>完了率:</v>
      </c>
      <c r="B7">
        <f>COUNTIF(受注データ!K2:K31,"納品完了")/COUNTA(受注データ!K2:K31)</f>
      </c>
      <c r="C7" s="1" t="str">
        <v/>
      </c>
      <c r="D7" t="str">
        <v/>
      </c>
      <c r="E7" t="str">
        <v/>
      </c>
    </row>
    <row r="8">
      <c r="A8" t="str">
        <v>遅延率:</v>
      </c>
      <c r="B8">
        <f>COUNTIF(受注データ!M2:M31,"遅延")/COUNTA(受注データ!M2:M31)</f>
      </c>
      <c r="C8" s="1" t="str">
        <v/>
      </c>
      <c r="D8" t="str">
        <v/>
      </c>
      <c r="E8" t="str">
        <v/>
      </c>
    </row>
    <row r="9">
      <c r="A9" t="str">
        <v/>
      </c>
      <c r="B9" t="str">
        <v/>
      </c>
      <c r="C9" t="str">
        <v/>
      </c>
      <c r="D9" t="str">
        <v/>
      </c>
      <c r="E9" t="str">
        <v/>
      </c>
    </row>
    <row r="10">
      <c r="A10" t="str">
        <v>営業担当者別実績</v>
      </c>
      <c r="B10" t="str">
        <v/>
      </c>
      <c r="C10" t="str">
        <v/>
      </c>
      <c r="D10" t="str">
        <v/>
      </c>
      <c r="E10" t="str">
        <v/>
      </c>
    </row>
    <row r="11">
      <c r="A11" t="str">
        <v>担当者名</v>
      </c>
      <c r="B11" t="str">
        <v>受注件数</v>
      </c>
      <c r="C11" t="str">
        <v>売上高</v>
      </c>
      <c r="D11" t="str">
        <v>平均受注額</v>
      </c>
      <c r="E11" t="str">
        <v/>
      </c>
    </row>
    <row r="12">
      <c r="A12" t="str">
        <v>田中太郎</v>
      </c>
      <c r="B12">
        <f>COUNTIF(受注データ!J2:J31,"田中太郎")</f>
      </c>
      <c r="C12">
        <f>SUMIF(受注データ!J2:J31,"田中太郎",受注データ!I2:I31)</f>
      </c>
      <c r="D12">
        <f>IF(B12&gt;0,C12/B12,0)</f>
      </c>
      <c r="E12" t="str">
        <v/>
      </c>
    </row>
    <row r="13">
      <c r="A13" t="str">
        <v>鈴木花子</v>
      </c>
      <c r="B13">
        <f>COUNTIF(受注データ!J2:J31,"鈴木花子")</f>
      </c>
      <c r="C13">
        <f>SUMIF(受注データ!J2:J31,"鈴木花子",受注データ!I2:I31)</f>
      </c>
      <c r="D13">
        <f>IF(B13&gt;0,C13/B13,0)</f>
      </c>
      <c r="E13" t="str">
        <v/>
      </c>
    </row>
    <row r="14">
      <c r="A14" t="str">
        <v>高橋一郎</v>
      </c>
      <c r="B14">
        <f>COUNTIF(受注データ!J2:J31,"高橋一郎")</f>
      </c>
      <c r="C14">
        <f>SUMIF(受注データ!J2:J31,"高橋一郎",受注データ!I2:I31)</f>
      </c>
      <c r="D14">
        <f>IF(B14&gt;0,C14/B14,0)</f>
      </c>
      <c r="E14" t="str">
        <v/>
      </c>
    </row>
    <row r="15">
      <c r="A15" t="str">
        <v>伊藤美咲</v>
      </c>
      <c r="B15">
        <f>COUNTIF(受注データ!J2:J31,"伊藤美咲")</f>
      </c>
      <c r="C15">
        <f>SUMIF(受注データ!J2:J31,"伊藤美咲",受注データ!I2:I31)</f>
      </c>
      <c r="D15">
        <f>IF(B15&gt;0,C15/B15,0)</f>
      </c>
      <c r="E15" t="str">
        <v/>
      </c>
    </row>
    <row r="16">
      <c r="A16" t="str">
        <v>渡辺健太</v>
      </c>
      <c r="B16">
        <f>COUNTIF(受注データ!J2:J31,"渡辺健太")</f>
      </c>
      <c r="C16">
        <f>SUMIF(受注データ!J2:J31,"渡辺健太",受注データ!I2:I31)</f>
      </c>
      <c r="D16">
        <f>IF(B16&gt;0,C16/B16,0)</f>
      </c>
      <c r="E16" t="str">
        <v/>
      </c>
    </row>
    <row r="17">
      <c r="A17" t="str">
        <v/>
      </c>
      <c r="B17" t="str">
        <v/>
      </c>
      <c r="C17" t="str">
        <v/>
      </c>
      <c r="D17" t="str">
        <v/>
      </c>
      <c r="E17" t="str">
        <v/>
      </c>
    </row>
    <row r="18">
      <c r="A18" t="str">
        <v>トップパフォーマー</v>
      </c>
      <c r="B18">
        <f>INDEX(A12:A16,MATCH(MAX(C12:C16),C12:C16,0))</f>
      </c>
      <c r="C18" t="str">
        <v/>
      </c>
      <c r="D18" t="str">
        <v/>
      </c>
      <c r="E18" t="str">
        <v/>
      </c>
    </row>
    <row r="19">
      <c r="A19" t="str">
        <v>最高売上:</v>
      </c>
      <c r="B19">
        <f>MAX(C12:C16)</f>
      </c>
      <c r="C19" t="str">
        <v>円</v>
      </c>
      <c r="D19" t="str">
        <v/>
      </c>
      <c r="E19" t="str">
        <v/>
      </c>
    </row>
  </sheetData>
  <ignoredErrors>
    <ignoredError numberStoredAsText="1" sqref="A1:E19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顧客マスタ</vt:lpstr>
      <vt:lpstr>商品マスタ</vt:lpstr>
      <vt:lpstr>受注データ</vt:lpstr>
      <vt:lpstr>見積書</vt:lpstr>
      <vt:lpstr>請求書</vt:lpstr>
      <vt:lpstr>月次レポート</vt:lpstr>
      <vt:lpstr>ダッシュボード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2025-10-15T14:59:32Z</dcterms:created>
  <dc:creator>Claude AI</dc:creator>
  <dc:subject>複数モジュール連携型マクロシステム</dc:subject>
  <dc:title>営業受注管理システム</dc:title>
</cp:coreProperties>
</file>